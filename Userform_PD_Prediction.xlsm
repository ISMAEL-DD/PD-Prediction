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xr:revisionPtr revIDLastSave="0" documentId="13_ncr:1_{4621A925-19A7-4482-9C9C-0759CB6E28A0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Feuil1" sheetId="1" r:id="rId1"/>
    <sheet name="Coefficients" sheetId="4" r:id="rId2"/>
    <sheet name="Feuil2" sheetId="2" state="hidden" r:id="rId3"/>
    <sheet name="BD" sheetId="3" r:id="rId4"/>
    <sheet name="chart1" sheetId="8" r:id="rId5"/>
  </sheets>
  <definedNames>
    <definedName name="_xlnm._FilterDatabase" localSheetId="1" hidden="1">Coefficients!$F$1:$G$1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8" l="1"/>
</calcChain>
</file>

<file path=xl/sharedStrings.xml><?xml version="1.0" encoding="utf-8"?>
<sst xmlns="http://schemas.openxmlformats.org/spreadsheetml/2006/main" count="370" uniqueCount="155">
  <si>
    <t>coefficient</t>
  </si>
  <si>
    <t>intercept</t>
  </si>
  <si>
    <t>EmploymentDurationCurrentEmployer_UpTo1Year</t>
  </si>
  <si>
    <t>Country_ES</t>
  </si>
  <si>
    <t>UseOfLoan_2</t>
  </si>
  <si>
    <t>UseOfLoan_6</t>
  </si>
  <si>
    <t>EmploymentDurationCurrentEmployer_UpTo4Years</t>
  </si>
  <si>
    <t>EmploymentDurationCurrentEmployer_UpTo5Years</t>
  </si>
  <si>
    <t>UseOfLoan_7</t>
  </si>
  <si>
    <t>EmploymentDurationCurrentEmployer_UpTo3Years</t>
  </si>
  <si>
    <t>Country_NL</t>
  </si>
  <si>
    <t>UseOfLoan_3</t>
  </si>
  <si>
    <t>UseOfLoan_8</t>
  </si>
  <si>
    <t>EmploymentDurationCurrentEmployer_Other</t>
  </si>
  <si>
    <t>UseOfLoan_5</t>
  </si>
  <si>
    <t>Country_SK</t>
  </si>
  <si>
    <t>NewCreditCustomer_True</t>
  </si>
  <si>
    <t>EmploymentDurationCurrentEmployer_Retiree</t>
  </si>
  <si>
    <t>Country_FI</t>
  </si>
  <si>
    <t>UseOfLoan_4</t>
  </si>
  <si>
    <t>UseOfLoan_1</t>
  </si>
  <si>
    <t>EmploymentDurationCurrentEmployer_UpTo2Years</t>
  </si>
  <si>
    <t>EmploymentDurationCurrentEmployer_TrialPeriod</t>
  </si>
  <si>
    <t>Age</t>
  </si>
  <si>
    <t>Amount</t>
  </si>
  <si>
    <t>Interest</t>
  </si>
  <si>
    <t>LoanDuration</t>
  </si>
  <si>
    <t>IncomeTotal</t>
  </si>
  <si>
    <t>AmountOfPreviousLoansBeforeLoan</t>
  </si>
  <si>
    <t>Service Level</t>
  </si>
  <si>
    <t>Needle Width</t>
  </si>
  <si>
    <t>Blank Area</t>
  </si>
  <si>
    <t>Country_EE</t>
  </si>
  <si>
    <t>NewCreditCustomer_False</t>
  </si>
  <si>
    <t>UseOfLoan_0</t>
  </si>
  <si>
    <t>EmploymentDurationCurrentEmployer_MoreThan5Years</t>
  </si>
  <si>
    <t>Etat Civil</t>
  </si>
  <si>
    <t>Ancienneté</t>
  </si>
  <si>
    <t>Etat Matrimonial</t>
  </si>
  <si>
    <t>Pays</t>
  </si>
  <si>
    <t>Type de logement</t>
  </si>
  <si>
    <t>Revenu Total</t>
  </si>
  <si>
    <t>Education</t>
  </si>
  <si>
    <t>Situation professionnelle</t>
  </si>
  <si>
    <t>Durée dans l'emploi actuel</t>
  </si>
  <si>
    <t>Secteur de travail</t>
  </si>
  <si>
    <t>Montant crédit</t>
  </si>
  <si>
    <t>Taux d'interet</t>
  </si>
  <si>
    <t>Duree du prêt</t>
  </si>
  <si>
    <t>Objet du crédit</t>
  </si>
  <si>
    <t>Total crédits antérieurs</t>
  </si>
  <si>
    <t>Monsieur</t>
  </si>
  <si>
    <t>Nouveau</t>
  </si>
  <si>
    <t>Union libre</t>
  </si>
  <si>
    <t>Finland (FI)</t>
  </si>
  <si>
    <t>Locataire d 'une propriété meublée</t>
  </si>
  <si>
    <t>Supérieure</t>
  </si>
  <si>
    <t>Emploi à temps plein</t>
  </si>
  <si>
    <t>Plus de 5 ans</t>
  </si>
  <si>
    <t>Agriculture, sylviculture et pêche</t>
  </si>
  <si>
    <t>Business</t>
  </si>
  <si>
    <t>Madame</t>
  </si>
  <si>
    <t>Services publiques</t>
  </si>
  <si>
    <t>Espagne (ES)</t>
  </si>
  <si>
    <t>Art et diverstissement</t>
  </si>
  <si>
    <t>Primaire</t>
  </si>
  <si>
    <t>Finance et Assurance</t>
  </si>
  <si>
    <t>Pays-Bas (NL</t>
  </si>
  <si>
    <t>Propriétaire</t>
  </si>
  <si>
    <t>Commerce de détail et de gros</t>
  </si>
  <si>
    <t>Investissement dans l'immobilier</t>
  </si>
  <si>
    <t>Indéfini</t>
  </si>
  <si>
    <t>Professionnelle</t>
  </si>
  <si>
    <t>Transport</t>
  </si>
  <si>
    <t>Voiture</t>
  </si>
  <si>
    <t>Célibataire</t>
  </si>
  <si>
    <t>Entre 1 et 2 ans</t>
  </si>
  <si>
    <t>Hôtellerie et Restauration</t>
  </si>
  <si>
    <t>Voyage</t>
  </si>
  <si>
    <t>Propriétaire avec charges</t>
  </si>
  <si>
    <t>Services administratifs</t>
  </si>
  <si>
    <t>Copropriétaire</t>
  </si>
  <si>
    <t>Autres</t>
  </si>
  <si>
    <t>Slovaquie (SK)</t>
  </si>
  <si>
    <t>Secondaire</t>
  </si>
  <si>
    <t>Entre 2 et 3 ans</t>
  </si>
  <si>
    <t>Marié</t>
  </si>
  <si>
    <t>Entreprenariat</t>
  </si>
  <si>
    <t>Entre 4 et 5 ans</t>
  </si>
  <si>
    <t>Revenu</t>
  </si>
  <si>
    <t>Locataire d 'une pripriété non-meublée</t>
  </si>
  <si>
    <t>Entre 3 et 4 ans</t>
  </si>
  <si>
    <t>Ancien</t>
  </si>
  <si>
    <t>Colocataire</t>
  </si>
  <si>
    <t>Emploi à temps partiel</t>
  </si>
  <si>
    <t>Locataire d'une pripriété non-meublée</t>
  </si>
  <si>
    <t>Pays-Bas (NL)</t>
  </si>
  <si>
    <t>Travailleur indépendant</t>
  </si>
  <si>
    <t>HomeOwnershipType_10.0</t>
  </si>
  <si>
    <t>OccupationArea_1.0</t>
  </si>
  <si>
    <t>MaritalStatus_4.0</t>
  </si>
  <si>
    <t>HomeOwnershipType_6.0</t>
  </si>
  <si>
    <t>HomeOwnershipType_0.0</t>
  </si>
  <si>
    <t>Gender_1.0</t>
  </si>
  <si>
    <t>UseOfLoan_102</t>
  </si>
  <si>
    <t>OccupationArea_6.0</t>
  </si>
  <si>
    <t>HomeOwnershipType_4.0</t>
  </si>
  <si>
    <t>OccupationArea_5.0</t>
  </si>
  <si>
    <t>EmploymentStatus_4.0</t>
  </si>
  <si>
    <t>OccupationArea_17.0</t>
  </si>
  <si>
    <t>EmploymentStatus_5.0</t>
  </si>
  <si>
    <t>HomeOwnershipType_7.0</t>
  </si>
  <si>
    <t>OccupationArea_12.0</t>
  </si>
  <si>
    <t>MaritalStatus_5.0</t>
  </si>
  <si>
    <t>OccupationArea_16.0</t>
  </si>
  <si>
    <t>OccupationArea_7.0</t>
  </si>
  <si>
    <t>HomeOwnershipType_3.0</t>
  </si>
  <si>
    <t>UseOfLoan_104</t>
  </si>
  <si>
    <t>OccupationArea_8.0</t>
  </si>
  <si>
    <t>HomeOwnershipType_9.0</t>
  </si>
  <si>
    <t>HomeOwnershipType_8.0</t>
  </si>
  <si>
    <t>EmploymentStatus_3.0</t>
  </si>
  <si>
    <t>OccupationArea_14.0</t>
  </si>
  <si>
    <t>OccupationArea_15.0</t>
  </si>
  <si>
    <t>OccupationArea_9.0</t>
  </si>
  <si>
    <t>OccupationArea_13.0</t>
  </si>
  <si>
    <t>UseOfLoan_110</t>
  </si>
  <si>
    <t>HomeOwnershipType_5.0</t>
  </si>
  <si>
    <t>Education_5.0</t>
  </si>
  <si>
    <t>Education_2.0</t>
  </si>
  <si>
    <t>HomeOwnershipType_2.0</t>
  </si>
  <si>
    <t>OccupationArea_4.0</t>
  </si>
  <si>
    <t>Gender_2.0</t>
  </si>
  <si>
    <t>MaritalStatus_3.0</t>
  </si>
  <si>
    <t>Education_-1.0</t>
  </si>
  <si>
    <t>OccupationArea_2.0</t>
  </si>
  <si>
    <t>MaritalStatus_2.0</t>
  </si>
  <si>
    <t>UseOfLoan_107</t>
  </si>
  <si>
    <t>OccupationArea_19.0</t>
  </si>
  <si>
    <t>MaritalStatus_1.0</t>
  </si>
  <si>
    <t>Education_1.0</t>
  </si>
  <si>
    <t>EmploymentStatus_6.0</t>
  </si>
  <si>
    <t>UseOfLoan_106</t>
  </si>
  <si>
    <t>UseOfLoan_101</t>
  </si>
  <si>
    <t>Gender_0.0</t>
  </si>
  <si>
    <t>OccupationArea_10.0</t>
  </si>
  <si>
    <t>Education_4.0</t>
  </si>
  <si>
    <t>Education_3.0</t>
  </si>
  <si>
    <t>OccupationArea_18.0</t>
  </si>
  <si>
    <t>EmploymentStatus_1.0</t>
  </si>
  <si>
    <t>OccupationArea_11.0</t>
  </si>
  <si>
    <t>HomeOwnershipType_1.0</t>
  </si>
  <si>
    <t>EmploymentStatus_2.0</t>
  </si>
  <si>
    <t>OccupationArea_3.0</t>
  </si>
  <si>
    <t>CLASSE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</si>
</sst>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1" applyFont="1"/>
    <xf numFmtId="9" fontId="0" fillId="0" borderId="0" xfId="0" applyNumberFormat="1" applyAlignment="1">
      <alignment horizontal="center"/>
    </xf>
    <xf numFmtId="9" fontId="0" fillId="0" borderId="0" xfId="0" applyNumberFormat="1"/>
    <xf numFmtId="9" fontId="3" fillId="2" borderId="1" xfId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E60000"/>
      <color rgb="FFF3AEA9"/>
      <color rgb="FFF94335"/>
      <color rgb="FFF81414"/>
      <color rgb="FFEB786F"/>
      <color rgb="FFE657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FB-4A4D-89E5-EEA07C4E6ED0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9FB-4A4D-89E5-EEA07C4E6E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9FB-4A4D-89E5-EEA07C4E6ED0}"/>
              </c:ext>
            </c:extLst>
          </c:dPt>
          <c:dPt>
            <c:idx val="3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9FB-4A4D-89E5-EEA07C4E6ED0}"/>
              </c:ext>
            </c:extLst>
          </c:dPt>
          <c:dPt>
            <c:idx val="4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9FB-4A4D-89E5-EEA07C4E6ED0}"/>
              </c:ext>
            </c:extLst>
          </c:dPt>
          <c:dPt>
            <c:idx val="5"/>
            <c:bubble3D val="0"/>
            <c:spPr>
              <a:solidFill>
                <a:srgbClr val="F3AE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9FB-4A4D-89E5-EEA07C4E6ED0}"/>
              </c:ext>
            </c:extLst>
          </c:dPt>
          <c:dPt>
            <c:idx val="6"/>
            <c:bubble3D val="0"/>
            <c:spPr>
              <a:solidFill>
                <a:srgbClr val="F9433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9FB-4A4D-89E5-EEA07C4E6ED0}"/>
              </c:ext>
            </c:extLst>
          </c:dPt>
          <c:dPt>
            <c:idx val="7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9FB-4A4D-89E5-EEA07C4E6ED0}"/>
              </c:ext>
            </c:extLst>
          </c:dPt>
          <c:dPt>
            <c:idx val="8"/>
            <c:bubble3D val="0"/>
            <c:spPr>
              <a:solidFill>
                <a:srgbClr val="F8141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9FB-4A4D-89E5-EEA07C4E6ED0}"/>
              </c:ext>
            </c:extLst>
          </c:dPt>
          <c:dPt>
            <c:idx val="9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9FB-4A4D-89E5-EEA07C4E6ED0}"/>
              </c:ext>
            </c:extLst>
          </c:dPt>
          <c:dPt>
            <c:idx val="1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9FB-4A4D-89E5-EEA07C4E6ED0}"/>
              </c:ext>
            </c:extLst>
          </c:dPt>
          <c:val>
            <c:numRef>
              <c:f>chart1!$A$1:$A$11</c:f>
              <c:numCache>
                <c:formatCode>0%</c:formatCode>
                <c:ptCount val="1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FB-4A4D-89E5-EEA07C4E6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pieChart>
        <c:varyColors val="1"/>
        <c:ser>
          <c:idx val="1"/>
          <c:order val="1"/>
          <c:tx>
            <c:strRef>
              <c:f>chart1!$D$1</c:f>
              <c:strCache>
                <c:ptCount val="1"/>
                <c:pt idx="0">
                  <c:v>Service Level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explosion val="74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9FB-4A4D-89E5-EEA07C4E6ED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9FB-4A4D-89E5-EEA07C4E6ED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19FB-4A4D-89E5-EEA07C4E6ED0}"/>
              </c:ext>
            </c:extLst>
          </c:dPt>
          <c:dLbls>
            <c:dLbl>
              <c:idx val="1"/>
              <c:tx>
                <c:strRef>
                  <c:f>chart1!$E$1</c:f>
                  <c:strCache>
                    <c:ptCount val="1"/>
                    <c:pt idx="0">
                      <c:v>100%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{9616822C-EFFD-4B00-B7D8-58DECCE0D680}</c15:txfldGUID>
                      <c15:f>chart1!$E$1</c15:f>
                      <c15:dlblFieldTableCache>
                        <c:ptCount val="1"/>
                        <c:pt idx="0">
                          <c:v>100%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9FB-4A4D-89E5-EEA07C4E6E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chart1!$E$1:$E$3</c:f>
              <c:numCache>
                <c:formatCode>0%</c:formatCode>
                <c:ptCount val="3"/>
                <c:pt idx="0">
                  <c:v>1</c:v>
                </c:pt>
                <c:pt idx="1">
                  <c:v>0.01</c:v>
                </c:pt>
                <c:pt idx="2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9FB-4A4D-89E5-EEA07C4E6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9</xdr:row>
          <xdr:rowOff>144780</xdr:rowOff>
        </xdr:from>
        <xdr:to>
          <xdr:col>7</xdr:col>
          <xdr:colOff>15240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76200</xdr:rowOff>
    </xdr:from>
    <xdr:to>
      <xdr:col>12</xdr:col>
      <xdr:colOff>400050</xdr:colOff>
      <xdr:row>14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0.48084</cdr:x>
      <cdr:y>0.42188</cdr:y>
    </cdr:from>
    <cdr:to>
      <cdr:x>0.54084</cdr:x>
      <cdr:y>0.52188</cdr:y>
    </cdr:to>
    <cdr:sp macro="" textlink="">
      <cdr:nvSpPr>
        <cdr:cNvPr id="3" name="Oval 2"/>
        <cdr:cNvSpPr/>
      </cdr:nvSpPr>
      <cdr:spPr>
        <a:xfrm xmlns:a="http://schemas.openxmlformats.org/drawingml/2006/main">
          <a:off x="2198385" y="1112295"/>
          <a:ext cx="274320" cy="26365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  <a:effectLst xmlns:a="http://schemas.openxmlformats.org/drawingml/2006/main">
          <a:outerShdw blurRad="44450" dist="27940" dir="5400000" algn="ctr">
            <a:srgbClr val="000000">
              <a:alpha val="32000"/>
            </a:srgbClr>
          </a:outerShdw>
        </a:effectLst>
        <a:scene3d xmlns:a="http://schemas.openxmlformats.org/drawingml/2006/main">
          <a:camera prst="orthographicFront">
            <a:rot lat="0" lon="0" rev="0"/>
          </a:camera>
          <a:lightRig rig="balanced" dir="t">
            <a:rot lat="0" lon="0" rev="8700000"/>
          </a:lightRig>
        </a:scene3d>
        <a:sp3d xmlns:a="http://schemas.openxmlformats.org/drawingml/2006/main">
          <a:bevelT w="190500" h="38100"/>
        </a:sp3d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D27:F27"/>
  <sheetViews>
    <sheetView showGridLines="0" showRowColHeaders="0" workbookViewId="0">
      <selection activeCell="E10" sqref="E10"/>
    </sheetView>
  </sheetViews>
  <sheetFormatPr baseColWidth="10" defaultColWidth="11.44140625" defaultRowHeight="14.4" x14ac:dyDescent="0.3"/>
  <cols>
    <col min="1" max="1" width="27.33203125" style="7" customWidth="1"/>
    <col min="2" max="16384" width="11.44140625" style="7"/>
  </cols>
  <sheetData>
    <row r="27" spans="4:6" x14ac:dyDescent="0.3">
      <c r="D27" s="6"/>
      <c r="E27" s="8"/>
      <c r="F27" s="8"/>
    </row>
  </sheetData>
  <mergeCells count="1">
    <mergeCell ref="E27:F2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lancement_formulaire">
                <anchor moveWithCells="1" sizeWithCells="1">
                  <from>
                    <xdr:col>3</xdr:col>
                    <xdr:colOff>647700</xdr:colOff>
                    <xdr:row>9</xdr:row>
                    <xdr:rowOff>144780</xdr:rowOff>
                  </from>
                  <to>
                    <xdr:col>7</xdr:col>
                    <xdr:colOff>15240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B89"/>
  <sheetViews>
    <sheetView topLeftCell="A61" workbookViewId="0">
      <selection activeCell="J10" sqref="J10"/>
    </sheetView>
  </sheetViews>
  <sheetFormatPr baseColWidth="10" defaultRowHeight="14.4" x14ac:dyDescent="0.3"/>
  <cols>
    <col min="4" max="4" width="41.88671875" customWidth="1"/>
  </cols>
  <sheetData>
    <row r="1" spans="1:2" x14ac:dyDescent="0.3">
      <c r="B1" t="s">
        <v>0</v>
      </c>
    </row>
    <row r="2" spans="1:2" x14ac:dyDescent="0.3">
      <c r="A2" t="s">
        <v>23</v>
      </c>
      <c r="B2">
        <v>3.1581651128965299E-4</v>
      </c>
    </row>
    <row r="3" spans="1:2" x14ac:dyDescent="0.3">
      <c r="A3" t="s">
        <v>24</v>
      </c>
      <c r="B3">
        <v>3.4935109631753702E-3</v>
      </c>
    </row>
    <row r="4" spans="1:2" x14ac:dyDescent="0.3">
      <c r="A4" t="s">
        <v>28</v>
      </c>
      <c r="B4">
        <v>2.8529417398082601E-3</v>
      </c>
    </row>
    <row r="5" spans="1:2" x14ac:dyDescent="0.3">
      <c r="A5" t="s">
        <v>32</v>
      </c>
      <c r="B5">
        <v>-3.5843909241555401E-2</v>
      </c>
    </row>
    <row r="6" spans="1:2" x14ac:dyDescent="0.3">
      <c r="A6" t="s">
        <v>3</v>
      </c>
      <c r="B6">
        <v>-5.4218057837242097E-3</v>
      </c>
    </row>
    <row r="7" spans="1:2" x14ac:dyDescent="0.3">
      <c r="A7" t="s">
        <v>18</v>
      </c>
      <c r="B7">
        <v>8.6147323625438796E-2</v>
      </c>
    </row>
    <row r="8" spans="1:2" x14ac:dyDescent="0.3">
      <c r="A8" t="s">
        <v>10</v>
      </c>
      <c r="B8">
        <v>-6.8831128715607995E-2</v>
      </c>
    </row>
    <row r="9" spans="1:2" x14ac:dyDescent="0.3">
      <c r="A9" t="s">
        <v>15</v>
      </c>
      <c r="B9">
        <v>-3.9945095153754703E-2</v>
      </c>
    </row>
    <row r="10" spans="1:2" x14ac:dyDescent="0.3">
      <c r="A10" t="s">
        <v>140</v>
      </c>
      <c r="B10">
        <v>-6.3456613692133595E-2</v>
      </c>
    </row>
    <row r="11" spans="1:2" x14ac:dyDescent="0.3">
      <c r="A11" t="s">
        <v>134</v>
      </c>
      <c r="B11">
        <v>-6.6976737764990997E-3</v>
      </c>
    </row>
    <row r="12" spans="1:2" x14ac:dyDescent="0.3">
      <c r="A12" t="s">
        <v>129</v>
      </c>
      <c r="B12">
        <v>9.7173846127590294E-2</v>
      </c>
    </row>
    <row r="13" spans="1:2" x14ac:dyDescent="0.3">
      <c r="A13" t="s">
        <v>147</v>
      </c>
      <c r="B13">
        <v>2.6045807894563101E-2</v>
      </c>
    </row>
    <row r="14" spans="1:2" x14ac:dyDescent="0.3">
      <c r="A14" t="s">
        <v>146</v>
      </c>
      <c r="B14">
        <v>7.5101401387305602E-2</v>
      </c>
    </row>
    <row r="15" spans="1:2" x14ac:dyDescent="0.3">
      <c r="A15" t="s">
        <v>128</v>
      </c>
      <c r="B15">
        <v>-0.109325885294262</v>
      </c>
    </row>
    <row r="16" spans="1:2" x14ac:dyDescent="0.3">
      <c r="A16" t="s">
        <v>35</v>
      </c>
      <c r="B16">
        <v>-2.6384395542848701E-2</v>
      </c>
    </row>
    <row r="17" spans="1:2" x14ac:dyDescent="0.3">
      <c r="A17" t="s">
        <v>13</v>
      </c>
      <c r="B17">
        <v>-4.6796747767771704E-3</v>
      </c>
    </row>
    <row r="18" spans="1:2" x14ac:dyDescent="0.3">
      <c r="A18" t="s">
        <v>17</v>
      </c>
      <c r="B18">
        <v>-1.9610213654636399E-2</v>
      </c>
    </row>
    <row r="19" spans="1:2" x14ac:dyDescent="0.3">
      <c r="A19" t="s">
        <v>22</v>
      </c>
      <c r="B19">
        <v>-2.3134026850285799E-2</v>
      </c>
    </row>
    <row r="20" spans="1:2" x14ac:dyDescent="0.3">
      <c r="A20" t="s">
        <v>2</v>
      </c>
      <c r="B20">
        <v>0.13425187469795399</v>
      </c>
    </row>
    <row r="21" spans="1:2" x14ac:dyDescent="0.3">
      <c r="A21" t="s">
        <v>21</v>
      </c>
      <c r="B21">
        <v>-1.76982438814406E-2</v>
      </c>
    </row>
    <row r="22" spans="1:2" x14ac:dyDescent="0.3">
      <c r="A22" t="s">
        <v>9</v>
      </c>
      <c r="B22">
        <v>-1.3565428499023599E-2</v>
      </c>
    </row>
    <row r="23" spans="1:2" x14ac:dyDescent="0.3">
      <c r="A23" t="s">
        <v>6</v>
      </c>
      <c r="B23">
        <v>-0.118032683071762</v>
      </c>
    </row>
    <row r="24" spans="1:2" x14ac:dyDescent="0.3">
      <c r="A24" t="s">
        <v>7</v>
      </c>
      <c r="B24">
        <v>2.56821399046308E-2</v>
      </c>
    </row>
    <row r="25" spans="1:2" x14ac:dyDescent="0.3">
      <c r="A25" t="s">
        <v>149</v>
      </c>
      <c r="B25">
        <v>1.30404827971396E-2</v>
      </c>
    </row>
    <row r="26" spans="1:2" x14ac:dyDescent="0.3">
      <c r="A26" t="s">
        <v>152</v>
      </c>
      <c r="B26">
        <v>2.77591922980946E-2</v>
      </c>
    </row>
    <row r="27" spans="1:2" x14ac:dyDescent="0.3">
      <c r="A27" t="s">
        <v>121</v>
      </c>
      <c r="B27">
        <v>-2.10871900262781E-2</v>
      </c>
    </row>
    <row r="28" spans="1:2" x14ac:dyDescent="0.3">
      <c r="A28" t="s">
        <v>108</v>
      </c>
      <c r="B28">
        <v>-7.1883392742898705E-2</v>
      </c>
    </row>
    <row r="29" spans="1:2" x14ac:dyDescent="0.3">
      <c r="A29" t="s">
        <v>110</v>
      </c>
      <c r="B29">
        <v>3.6790748174771397E-2</v>
      </c>
    </row>
    <row r="30" spans="1:2" x14ac:dyDescent="0.3">
      <c r="A30" t="s">
        <v>141</v>
      </c>
      <c r="B30">
        <v>-1.25222568429785E-2</v>
      </c>
    </row>
    <row r="31" spans="1:2" x14ac:dyDescent="0.3">
      <c r="A31" t="s">
        <v>144</v>
      </c>
      <c r="B31">
        <v>0.17381147804081301</v>
      </c>
    </row>
    <row r="32" spans="1:2" x14ac:dyDescent="0.3">
      <c r="A32" t="s">
        <v>103</v>
      </c>
      <c r="B32">
        <v>1.49267212148786E-2</v>
      </c>
    </row>
    <row r="33" spans="1:2" x14ac:dyDescent="0.3">
      <c r="A33" t="s">
        <v>132</v>
      </c>
      <c r="B33">
        <v>4.46210435179136E-2</v>
      </c>
    </row>
    <row r="34" spans="1:2" x14ac:dyDescent="0.3">
      <c r="A34" t="s">
        <v>102</v>
      </c>
      <c r="B34">
        <v>1.00833009314777E-2</v>
      </c>
    </row>
    <row r="35" spans="1:2" x14ac:dyDescent="0.3">
      <c r="A35" t="s">
        <v>151</v>
      </c>
      <c r="B35">
        <v>-5.1411694021730103E-3</v>
      </c>
    </row>
    <row r="36" spans="1:2" x14ac:dyDescent="0.3">
      <c r="A36" t="s">
        <v>98</v>
      </c>
      <c r="B36">
        <v>0.94778181666523598</v>
      </c>
    </row>
    <row r="37" spans="1:2" x14ac:dyDescent="0.3">
      <c r="A37" t="s">
        <v>130</v>
      </c>
      <c r="B37">
        <v>2.52573580541074E-2</v>
      </c>
    </row>
    <row r="38" spans="1:2" x14ac:dyDescent="0.3">
      <c r="A38" t="s">
        <v>116</v>
      </c>
      <c r="B38">
        <v>1.6177445900350099E-2</v>
      </c>
    </row>
    <row r="39" spans="1:2" x14ac:dyDescent="0.3">
      <c r="A39" t="s">
        <v>106</v>
      </c>
      <c r="B39">
        <v>3.9011391993673497E-2</v>
      </c>
    </row>
    <row r="40" spans="1:2" x14ac:dyDescent="0.3">
      <c r="A40" t="s">
        <v>127</v>
      </c>
      <c r="B40">
        <v>-1.04557561477809E-2</v>
      </c>
    </row>
    <row r="41" spans="1:2" x14ac:dyDescent="0.3">
      <c r="A41" t="s">
        <v>101</v>
      </c>
      <c r="B41">
        <v>3.2130443233737697E-2</v>
      </c>
    </row>
    <row r="42" spans="1:2" x14ac:dyDescent="0.3">
      <c r="A42" t="s">
        <v>111</v>
      </c>
      <c r="B42">
        <v>7.6254467086542405E-2</v>
      </c>
    </row>
    <row r="43" spans="1:2" x14ac:dyDescent="0.3">
      <c r="A43" t="s">
        <v>120</v>
      </c>
      <c r="B43">
        <v>1.8455629071262799E-2</v>
      </c>
    </row>
    <row r="44" spans="1:2" x14ac:dyDescent="0.3">
      <c r="A44" t="s">
        <v>119</v>
      </c>
      <c r="B44">
        <v>-7.71970289439895E-3</v>
      </c>
    </row>
    <row r="45" spans="1:2" x14ac:dyDescent="0.3">
      <c r="A45" t="s">
        <v>27</v>
      </c>
      <c r="B45">
        <v>-2.5629686174441502E-2</v>
      </c>
    </row>
    <row r="46" spans="1:2" x14ac:dyDescent="0.3">
      <c r="A46" t="s">
        <v>1</v>
      </c>
      <c r="B46">
        <v>-5.2522599125982297E-2</v>
      </c>
    </row>
    <row r="47" spans="1:2" x14ac:dyDescent="0.3">
      <c r="A47" t="s">
        <v>25</v>
      </c>
      <c r="B47">
        <v>-3.8346473143468902E-2</v>
      </c>
    </row>
    <row r="48" spans="1:2" x14ac:dyDescent="0.3">
      <c r="A48" t="s">
        <v>26</v>
      </c>
      <c r="B48">
        <v>1.9907705853607901E-2</v>
      </c>
    </row>
    <row r="49" spans="1:2" x14ac:dyDescent="0.3">
      <c r="A49" t="s">
        <v>139</v>
      </c>
      <c r="B49">
        <v>2.8757005455999098E-2</v>
      </c>
    </row>
    <row r="50" spans="1:2" x14ac:dyDescent="0.3">
      <c r="A50" t="s">
        <v>136</v>
      </c>
      <c r="B50">
        <v>-5.8809796591782801E-2</v>
      </c>
    </row>
    <row r="51" spans="1:2" x14ac:dyDescent="0.3">
      <c r="A51" t="s">
        <v>133</v>
      </c>
      <c r="B51">
        <v>3.0003219205856899E-2</v>
      </c>
    </row>
    <row r="52" spans="1:2" x14ac:dyDescent="0.3">
      <c r="A52" t="s">
        <v>100</v>
      </c>
      <c r="B52">
        <v>-2.5887550408644398E-2</v>
      </c>
    </row>
    <row r="53" spans="1:2" x14ac:dyDescent="0.3">
      <c r="A53" t="s">
        <v>113</v>
      </c>
      <c r="B53">
        <v>4.2471733401773397E-2</v>
      </c>
    </row>
    <row r="54" spans="1:2" x14ac:dyDescent="0.3">
      <c r="A54" t="s">
        <v>33</v>
      </c>
      <c r="B54">
        <v>3.8944250859952498E-2</v>
      </c>
    </row>
    <row r="55" spans="1:2" x14ac:dyDescent="0.3">
      <c r="A55" t="s">
        <v>16</v>
      </c>
      <c r="B55">
        <v>-4.3524385273032498E-3</v>
      </c>
    </row>
    <row r="56" spans="1:2" x14ac:dyDescent="0.3">
      <c r="A56" t="s">
        <v>99</v>
      </c>
      <c r="B56">
        <v>1.5383938902690899E-2</v>
      </c>
    </row>
    <row r="57" spans="1:2" x14ac:dyDescent="0.3">
      <c r="A57" t="s">
        <v>145</v>
      </c>
      <c r="B57">
        <v>-0.107998802152819</v>
      </c>
    </row>
    <row r="58" spans="1:2" x14ac:dyDescent="0.3">
      <c r="A58" t="s">
        <v>150</v>
      </c>
      <c r="B58">
        <v>1.9020172523659701E-2</v>
      </c>
    </row>
    <row r="59" spans="1:2" x14ac:dyDescent="0.3">
      <c r="A59" t="s">
        <v>112</v>
      </c>
      <c r="B59">
        <v>1.8261994065045001E-2</v>
      </c>
    </row>
    <row r="60" spans="1:2" x14ac:dyDescent="0.3">
      <c r="A60" t="s">
        <v>125</v>
      </c>
      <c r="B60">
        <v>-4.2956400222958898E-3</v>
      </c>
    </row>
    <row r="61" spans="1:2" x14ac:dyDescent="0.3">
      <c r="A61" t="s">
        <v>122</v>
      </c>
      <c r="B61">
        <v>-4.5957134450662603E-3</v>
      </c>
    </row>
    <row r="62" spans="1:2" x14ac:dyDescent="0.3">
      <c r="A62" t="s">
        <v>123</v>
      </c>
      <c r="B62">
        <v>5.2427889378493702E-3</v>
      </c>
    </row>
    <row r="63" spans="1:2" x14ac:dyDescent="0.3">
      <c r="A63" t="s">
        <v>114</v>
      </c>
      <c r="B63">
        <v>-1.8829817849863401E-2</v>
      </c>
    </row>
    <row r="64" spans="1:2" x14ac:dyDescent="0.3">
      <c r="A64" t="s">
        <v>109</v>
      </c>
      <c r="B64">
        <v>3.83002806571257E-2</v>
      </c>
    </row>
    <row r="65" spans="1:2" x14ac:dyDescent="0.3">
      <c r="A65" t="s">
        <v>148</v>
      </c>
      <c r="B65">
        <v>5.8609982269059398E-2</v>
      </c>
    </row>
    <row r="66" spans="1:2" x14ac:dyDescent="0.3">
      <c r="A66" t="s">
        <v>138</v>
      </c>
      <c r="B66">
        <v>-2.6119638586929901E-2</v>
      </c>
    </row>
    <row r="67" spans="1:2" x14ac:dyDescent="0.3">
      <c r="A67" t="s">
        <v>135</v>
      </c>
      <c r="B67">
        <v>6.1075865945635702E-3</v>
      </c>
    </row>
    <row r="68" spans="1:2" x14ac:dyDescent="0.3">
      <c r="A68" t="s">
        <v>153</v>
      </c>
      <c r="B68">
        <v>2.54307257003972E-2</v>
      </c>
    </row>
    <row r="69" spans="1:2" x14ac:dyDescent="0.3">
      <c r="A69" t="s">
        <v>131</v>
      </c>
      <c r="B69">
        <v>-4.4178581531177001E-3</v>
      </c>
    </row>
    <row r="70" spans="1:2" x14ac:dyDescent="0.3">
      <c r="A70" t="s">
        <v>107</v>
      </c>
      <c r="B70">
        <v>5.92022566437048E-3</v>
      </c>
    </row>
    <row r="71" spans="1:2" x14ac:dyDescent="0.3">
      <c r="A71" t="s">
        <v>105</v>
      </c>
      <c r="B71">
        <v>4.1121775678104197E-2</v>
      </c>
    </row>
    <row r="72" spans="1:2" x14ac:dyDescent="0.3">
      <c r="A72" t="s">
        <v>115</v>
      </c>
      <c r="B72">
        <v>5.4621233745412003E-3</v>
      </c>
    </row>
    <row r="73" spans="1:2" x14ac:dyDescent="0.3">
      <c r="A73" t="s">
        <v>118</v>
      </c>
      <c r="B73">
        <v>-1.8492398646971001E-2</v>
      </c>
    </row>
    <row r="74" spans="1:2" x14ac:dyDescent="0.3">
      <c r="A74" t="s">
        <v>124</v>
      </c>
      <c r="B74">
        <v>-5.2922749667051096E-3</v>
      </c>
    </row>
    <row r="75" spans="1:2" x14ac:dyDescent="0.3">
      <c r="A75" t="s">
        <v>34</v>
      </c>
      <c r="B75">
        <v>-9.8636576358350797E-2</v>
      </c>
    </row>
    <row r="76" spans="1:2" x14ac:dyDescent="0.3">
      <c r="A76" t="s">
        <v>20</v>
      </c>
      <c r="B76">
        <v>6.2862890749725599E-3</v>
      </c>
    </row>
    <row r="77" spans="1:2" x14ac:dyDescent="0.3">
      <c r="A77" t="s">
        <v>4</v>
      </c>
      <c r="B77">
        <v>2.4636087185367701E-2</v>
      </c>
    </row>
    <row r="78" spans="1:2" x14ac:dyDescent="0.3">
      <c r="A78" t="s">
        <v>11</v>
      </c>
      <c r="B78">
        <v>0.120981652068574</v>
      </c>
    </row>
    <row r="79" spans="1:2" x14ac:dyDescent="0.3">
      <c r="A79" t="s">
        <v>19</v>
      </c>
      <c r="B79">
        <v>-6.4528295527043096E-3</v>
      </c>
    </row>
    <row r="80" spans="1:2" x14ac:dyDescent="0.3">
      <c r="A80" t="s">
        <v>14</v>
      </c>
      <c r="B80">
        <v>9.5285616305394796E-2</v>
      </c>
    </row>
    <row r="81" spans="1:2" x14ac:dyDescent="0.3">
      <c r="A81" t="s">
        <v>5</v>
      </c>
      <c r="B81">
        <v>4.8320240345268002E-4</v>
      </c>
    </row>
    <row r="82" spans="1:2" x14ac:dyDescent="0.3">
      <c r="A82" t="s">
        <v>8</v>
      </c>
      <c r="B82">
        <v>-2.7073357989874501E-2</v>
      </c>
    </row>
    <row r="83" spans="1:2" x14ac:dyDescent="0.3">
      <c r="A83" t="s">
        <v>12</v>
      </c>
      <c r="B83">
        <v>-2.20204070072939E-2</v>
      </c>
    </row>
    <row r="84" spans="1:2" x14ac:dyDescent="0.3">
      <c r="A84" t="s">
        <v>143</v>
      </c>
      <c r="B84">
        <v>-1.8570401705523602E-2</v>
      </c>
    </row>
    <row r="85" spans="1:2" x14ac:dyDescent="0.3">
      <c r="A85" t="s">
        <v>104</v>
      </c>
      <c r="B85">
        <v>3.9974548731551998E-2</v>
      </c>
    </row>
    <row r="86" spans="1:2" x14ac:dyDescent="0.3">
      <c r="A86" t="s">
        <v>117</v>
      </c>
      <c r="B86">
        <v>1.13779843902927E-2</v>
      </c>
    </row>
    <row r="87" spans="1:2" x14ac:dyDescent="0.3">
      <c r="A87" t="s">
        <v>142</v>
      </c>
      <c r="B87">
        <v>4.6796747767771704E-3</v>
      </c>
    </row>
    <row r="88" spans="1:2" x14ac:dyDescent="0.3">
      <c r="A88" t="s">
        <v>137</v>
      </c>
      <c r="B88">
        <v>4.8822133844894401E-2</v>
      </c>
    </row>
    <row r="89" spans="1:2" x14ac:dyDescent="0.3">
      <c r="A89" t="s">
        <v>126</v>
      </c>
      <c r="B89">
        <v>-1.8916871892914099E-2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"/>
  <sheetViews>
    <sheetView workbookViewId="0"/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Q27"/>
  <sheetViews>
    <sheetView zoomScaleNormal="100" workbookViewId="0">
      <selection activeCell="B13" sqref="B13"/>
    </sheetView>
  </sheetViews>
  <sheetFormatPr baseColWidth="10" defaultColWidth="16.33203125" defaultRowHeight="14.4" x14ac:dyDescent="0.3"/>
  <cols>
    <col min="4" max="4" width="18.44140625" customWidth="1"/>
    <col min="6" max="6" width="33.77734375" customWidth="1"/>
    <col min="9" max="9" width="24.88671875" customWidth="1"/>
    <col min="10" max="10" width="26.33203125" customWidth="1"/>
    <col min="11" max="11" width="28" customWidth="1"/>
    <col min="15" max="15" width="31.21875" customWidth="1"/>
    <col min="16" max="16" width="25.109375" customWidth="1"/>
  </cols>
  <sheetData>
    <row r="1" spans="1:17" s="5" customFormat="1" ht="23.4" customHeight="1" x14ac:dyDescent="0.3">
      <c r="A1" s="4" t="s">
        <v>36</v>
      </c>
      <c r="B1" s="5" t="s">
        <v>37</v>
      </c>
      <c r="C1" s="5" t="s">
        <v>23</v>
      </c>
      <c r="D1" s="5" t="s">
        <v>38</v>
      </c>
      <c r="E1" s="5" t="s">
        <v>39</v>
      </c>
      <c r="F1" s="5" t="s">
        <v>40</v>
      </c>
      <c r="G1" s="5" t="s">
        <v>41</v>
      </c>
      <c r="H1" s="5" t="s">
        <v>42</v>
      </c>
      <c r="I1" s="5" t="s">
        <v>43</v>
      </c>
      <c r="J1" s="5" t="s">
        <v>44</v>
      </c>
      <c r="K1" s="5" t="s">
        <v>45</v>
      </c>
      <c r="L1" s="5" t="s">
        <v>46</v>
      </c>
      <c r="M1" s="5" t="s">
        <v>47</v>
      </c>
      <c r="N1" s="5" t="s">
        <v>48</v>
      </c>
      <c r="O1" s="5" t="s">
        <v>49</v>
      </c>
      <c r="P1" s="5" t="s">
        <v>50</v>
      </c>
      <c r="Q1" s="5" t="s">
        <v>89</v>
      </c>
    </row>
    <row r="2" spans="1:17" x14ac:dyDescent="0.3">
      <c r="A2" s="1" t="s">
        <v>51</v>
      </c>
      <c r="B2" t="s">
        <v>52</v>
      </c>
      <c r="C2">
        <v>35</v>
      </c>
      <c r="D2" t="s">
        <v>53</v>
      </c>
      <c r="E2" t="s">
        <v>54</v>
      </c>
      <c r="F2" t="s">
        <v>55</v>
      </c>
      <c r="G2">
        <v>3500</v>
      </c>
      <c r="H2" t="s">
        <v>56</v>
      </c>
      <c r="I2" t="s">
        <v>57</v>
      </c>
      <c r="J2" t="s">
        <v>58</v>
      </c>
      <c r="K2" t="s">
        <v>59</v>
      </c>
      <c r="L2">
        <v>1500</v>
      </c>
      <c r="M2">
        <v>1</v>
      </c>
      <c r="N2">
        <v>24</v>
      </c>
      <c r="O2" t="s">
        <v>60</v>
      </c>
      <c r="P2">
        <v>0</v>
      </c>
      <c r="Q2">
        <v>3500</v>
      </c>
    </row>
    <row r="3" spans="1:17" x14ac:dyDescent="0.3">
      <c r="A3" s="1" t="s">
        <v>61</v>
      </c>
      <c r="B3" t="s">
        <v>52</v>
      </c>
      <c r="C3">
        <v>35</v>
      </c>
      <c r="D3" t="s">
        <v>53</v>
      </c>
      <c r="E3" t="s">
        <v>54</v>
      </c>
      <c r="F3" t="s">
        <v>55</v>
      </c>
      <c r="G3">
        <v>3500</v>
      </c>
      <c r="H3" t="s">
        <v>56</v>
      </c>
      <c r="I3" t="s">
        <v>57</v>
      </c>
      <c r="J3" t="s">
        <v>58</v>
      </c>
      <c r="K3" t="s">
        <v>62</v>
      </c>
      <c r="L3">
        <v>1500</v>
      </c>
      <c r="M3">
        <v>1</v>
      </c>
      <c r="N3">
        <v>6</v>
      </c>
      <c r="O3" t="s">
        <v>60</v>
      </c>
      <c r="P3">
        <v>0</v>
      </c>
      <c r="Q3">
        <v>3500</v>
      </c>
    </row>
    <row r="4" spans="1:17" x14ac:dyDescent="0.3">
      <c r="A4" s="1" t="s">
        <v>61</v>
      </c>
      <c r="B4" t="s">
        <v>52</v>
      </c>
      <c r="C4">
        <v>35</v>
      </c>
      <c r="D4" t="s">
        <v>53</v>
      </c>
      <c r="E4" t="s">
        <v>63</v>
      </c>
      <c r="F4" t="s">
        <v>55</v>
      </c>
      <c r="G4">
        <v>3000</v>
      </c>
      <c r="H4" t="s">
        <v>56</v>
      </c>
      <c r="I4" t="s">
        <v>57</v>
      </c>
      <c r="J4" t="s">
        <v>58</v>
      </c>
      <c r="K4" t="s">
        <v>64</v>
      </c>
      <c r="L4">
        <v>5000</v>
      </c>
      <c r="M4">
        <v>1</v>
      </c>
      <c r="N4">
        <v>8</v>
      </c>
      <c r="O4" t="s">
        <v>60</v>
      </c>
      <c r="P4">
        <v>0</v>
      </c>
      <c r="Q4">
        <v>3000</v>
      </c>
    </row>
    <row r="5" spans="1:17" x14ac:dyDescent="0.3">
      <c r="A5" s="1" t="s">
        <v>61</v>
      </c>
      <c r="B5" t="s">
        <v>52</v>
      </c>
      <c r="C5">
        <v>35</v>
      </c>
      <c r="D5" t="s">
        <v>53</v>
      </c>
      <c r="E5" t="s">
        <v>54</v>
      </c>
      <c r="F5" t="s">
        <v>55</v>
      </c>
      <c r="G5">
        <v>3500</v>
      </c>
      <c r="H5" t="s">
        <v>65</v>
      </c>
      <c r="I5" t="s">
        <v>57</v>
      </c>
      <c r="J5" t="s">
        <v>58</v>
      </c>
      <c r="K5" t="s">
        <v>66</v>
      </c>
      <c r="L5">
        <v>5000</v>
      </c>
      <c r="M5">
        <v>1</v>
      </c>
      <c r="N5">
        <v>10</v>
      </c>
      <c r="O5" t="s">
        <v>60</v>
      </c>
      <c r="P5">
        <v>0</v>
      </c>
      <c r="Q5">
        <v>3500</v>
      </c>
    </row>
    <row r="6" spans="1:17" x14ac:dyDescent="0.3">
      <c r="A6" s="1" t="s">
        <v>61</v>
      </c>
      <c r="B6" t="s">
        <v>52</v>
      </c>
      <c r="C6">
        <v>40</v>
      </c>
      <c r="D6" t="s">
        <v>53</v>
      </c>
      <c r="E6" t="s">
        <v>67</v>
      </c>
      <c r="F6" t="s">
        <v>68</v>
      </c>
      <c r="G6">
        <v>3500</v>
      </c>
      <c r="H6" t="s">
        <v>56</v>
      </c>
      <c r="I6" t="s">
        <v>57</v>
      </c>
      <c r="J6" t="s">
        <v>58</v>
      </c>
      <c r="K6" t="s">
        <v>69</v>
      </c>
      <c r="L6">
        <v>8000</v>
      </c>
      <c r="M6">
        <v>1</v>
      </c>
      <c r="N6">
        <v>12</v>
      </c>
      <c r="O6" t="s">
        <v>70</v>
      </c>
      <c r="P6">
        <v>0</v>
      </c>
      <c r="Q6">
        <v>3500</v>
      </c>
    </row>
    <row r="7" spans="1:17" x14ac:dyDescent="0.3">
      <c r="A7" s="1" t="s">
        <v>51</v>
      </c>
      <c r="B7" t="s">
        <v>52</v>
      </c>
      <c r="C7">
        <v>45</v>
      </c>
      <c r="D7" t="s">
        <v>53</v>
      </c>
      <c r="E7" t="s">
        <v>54</v>
      </c>
      <c r="F7" t="s">
        <v>68</v>
      </c>
      <c r="G7">
        <v>3200</v>
      </c>
      <c r="H7" t="s">
        <v>56</v>
      </c>
      <c r="I7" t="s">
        <v>57</v>
      </c>
      <c r="J7" t="s">
        <v>58</v>
      </c>
      <c r="K7" t="s">
        <v>64</v>
      </c>
      <c r="L7">
        <v>8000</v>
      </c>
      <c r="M7">
        <v>1</v>
      </c>
      <c r="N7">
        <v>12</v>
      </c>
      <c r="O7" t="s">
        <v>60</v>
      </c>
      <c r="P7">
        <v>0</v>
      </c>
      <c r="Q7">
        <v>3200</v>
      </c>
    </row>
    <row r="8" spans="1:17" x14ac:dyDescent="0.3">
      <c r="A8" s="1" t="s">
        <v>71</v>
      </c>
      <c r="B8" t="s">
        <v>52</v>
      </c>
      <c r="C8">
        <v>51</v>
      </c>
      <c r="D8" t="s">
        <v>53</v>
      </c>
      <c r="E8" t="s">
        <v>63</v>
      </c>
      <c r="F8" t="s">
        <v>68</v>
      </c>
      <c r="G8">
        <v>2800</v>
      </c>
      <c r="H8" t="s">
        <v>72</v>
      </c>
      <c r="I8" t="s">
        <v>57</v>
      </c>
      <c r="J8" t="s">
        <v>58</v>
      </c>
      <c r="K8" t="s">
        <v>73</v>
      </c>
      <c r="L8">
        <v>5000</v>
      </c>
      <c r="M8">
        <v>1</v>
      </c>
      <c r="N8">
        <v>12</v>
      </c>
      <c r="O8" t="s">
        <v>74</v>
      </c>
      <c r="P8">
        <v>0</v>
      </c>
      <c r="Q8">
        <v>2800</v>
      </c>
    </row>
    <row r="9" spans="1:17" x14ac:dyDescent="0.3">
      <c r="A9" s="1" t="s">
        <v>61</v>
      </c>
      <c r="B9" t="s">
        <v>52</v>
      </c>
      <c r="C9">
        <v>22</v>
      </c>
      <c r="D9" t="s">
        <v>75</v>
      </c>
      <c r="E9" t="s">
        <v>63</v>
      </c>
      <c r="F9" t="s">
        <v>55</v>
      </c>
      <c r="G9">
        <v>2000</v>
      </c>
      <c r="H9" t="s">
        <v>72</v>
      </c>
      <c r="I9" t="s">
        <v>57</v>
      </c>
      <c r="J9" t="s">
        <v>76</v>
      </c>
      <c r="K9" t="s">
        <v>77</v>
      </c>
      <c r="L9">
        <v>1500</v>
      </c>
      <c r="M9">
        <v>20</v>
      </c>
      <c r="N9">
        <v>8</v>
      </c>
      <c r="O9" t="s">
        <v>78</v>
      </c>
      <c r="P9">
        <v>0</v>
      </c>
      <c r="Q9">
        <v>2000</v>
      </c>
    </row>
    <row r="10" spans="1:17" x14ac:dyDescent="0.3">
      <c r="A10" s="1" t="s">
        <v>71</v>
      </c>
      <c r="B10" t="s">
        <v>52</v>
      </c>
      <c r="C10">
        <v>51</v>
      </c>
      <c r="D10" t="s">
        <v>53</v>
      </c>
      <c r="E10" t="s">
        <v>67</v>
      </c>
      <c r="F10" t="s">
        <v>79</v>
      </c>
      <c r="G10">
        <v>4500</v>
      </c>
      <c r="H10" t="s">
        <v>56</v>
      </c>
      <c r="I10" t="s">
        <v>57</v>
      </c>
      <c r="J10" t="s">
        <v>58</v>
      </c>
      <c r="K10" t="s">
        <v>80</v>
      </c>
      <c r="L10">
        <v>9000</v>
      </c>
      <c r="M10">
        <v>51</v>
      </c>
      <c r="N10">
        <v>36</v>
      </c>
      <c r="O10" t="s">
        <v>70</v>
      </c>
      <c r="P10">
        <v>0</v>
      </c>
      <c r="Q10">
        <v>4500</v>
      </c>
    </row>
    <row r="11" spans="1:17" x14ac:dyDescent="0.3">
      <c r="A11" s="1" t="s">
        <v>51</v>
      </c>
      <c r="B11" t="s">
        <v>52</v>
      </c>
      <c r="C11">
        <v>45</v>
      </c>
      <c r="D11" t="s">
        <v>53</v>
      </c>
      <c r="E11" t="s">
        <v>67</v>
      </c>
      <c r="F11" t="s">
        <v>81</v>
      </c>
      <c r="G11">
        <v>3200</v>
      </c>
      <c r="H11" t="s">
        <v>56</v>
      </c>
      <c r="I11" t="s">
        <v>57</v>
      </c>
      <c r="J11" t="s">
        <v>58</v>
      </c>
      <c r="K11" t="s">
        <v>77</v>
      </c>
      <c r="L11">
        <v>5000</v>
      </c>
      <c r="M11">
        <v>35</v>
      </c>
      <c r="N11">
        <v>36</v>
      </c>
      <c r="O11" t="s">
        <v>42</v>
      </c>
      <c r="P11">
        <v>55000</v>
      </c>
      <c r="Q11">
        <v>3200</v>
      </c>
    </row>
    <row r="12" spans="1:17" x14ac:dyDescent="0.3">
      <c r="A12" t="s">
        <v>61</v>
      </c>
      <c r="B12" t="s">
        <v>52</v>
      </c>
      <c r="C12">
        <v>35</v>
      </c>
      <c r="D12" t="s">
        <v>53</v>
      </c>
      <c r="E12" t="s">
        <v>67</v>
      </c>
      <c r="F12" t="s">
        <v>68</v>
      </c>
      <c r="G12">
        <v>4200</v>
      </c>
      <c r="H12" t="s">
        <v>56</v>
      </c>
      <c r="I12" t="s">
        <v>57</v>
      </c>
      <c r="J12" t="s">
        <v>58</v>
      </c>
      <c r="K12" t="s">
        <v>82</v>
      </c>
      <c r="L12">
        <v>5000</v>
      </c>
      <c r="M12">
        <v>50</v>
      </c>
      <c r="N12">
        <v>48</v>
      </c>
      <c r="O12" t="s">
        <v>42</v>
      </c>
      <c r="P12">
        <v>500</v>
      </c>
      <c r="Q12">
        <v>4200</v>
      </c>
    </row>
    <row r="13" spans="1:17" x14ac:dyDescent="0.3">
      <c r="A13" t="s">
        <v>51</v>
      </c>
      <c r="B13" t="s">
        <v>52</v>
      </c>
      <c r="C13">
        <v>45</v>
      </c>
      <c r="D13" t="s">
        <v>53</v>
      </c>
      <c r="E13" t="s">
        <v>67</v>
      </c>
      <c r="F13" t="s">
        <v>68</v>
      </c>
      <c r="G13">
        <v>3500</v>
      </c>
      <c r="H13" t="s">
        <v>56</v>
      </c>
      <c r="I13" t="s">
        <v>57</v>
      </c>
      <c r="J13" t="s">
        <v>58</v>
      </c>
      <c r="K13" t="s">
        <v>64</v>
      </c>
      <c r="L13">
        <v>4500</v>
      </c>
      <c r="M13">
        <v>45</v>
      </c>
      <c r="N13">
        <v>24</v>
      </c>
      <c r="O13" t="s">
        <v>70</v>
      </c>
      <c r="P13">
        <v>0</v>
      </c>
      <c r="Q13">
        <v>3500</v>
      </c>
    </row>
    <row r="14" spans="1:17" x14ac:dyDescent="0.3">
      <c r="A14" t="s">
        <v>61</v>
      </c>
      <c r="B14" t="s">
        <v>52</v>
      </c>
      <c r="C14">
        <v>80</v>
      </c>
      <c r="D14" t="s">
        <v>53</v>
      </c>
      <c r="E14" t="s">
        <v>83</v>
      </c>
      <c r="F14" t="s">
        <v>81</v>
      </c>
      <c r="G14">
        <v>5000</v>
      </c>
      <c r="H14" t="s">
        <v>84</v>
      </c>
      <c r="I14" t="s">
        <v>57</v>
      </c>
      <c r="J14" t="s">
        <v>85</v>
      </c>
      <c r="K14" t="s">
        <v>73</v>
      </c>
      <c r="L14">
        <v>5000</v>
      </c>
      <c r="M14">
        <v>20</v>
      </c>
      <c r="N14">
        <v>6</v>
      </c>
      <c r="O14" t="s">
        <v>82</v>
      </c>
      <c r="P14">
        <v>5</v>
      </c>
      <c r="Q14">
        <v>5000</v>
      </c>
    </row>
    <row r="15" spans="1:17" x14ac:dyDescent="0.3">
      <c r="A15" t="s">
        <v>51</v>
      </c>
      <c r="B15" t="s">
        <v>52</v>
      </c>
      <c r="C15">
        <v>50</v>
      </c>
      <c r="D15" t="s">
        <v>86</v>
      </c>
      <c r="E15" t="s">
        <v>54</v>
      </c>
      <c r="F15" t="s">
        <v>55</v>
      </c>
      <c r="G15">
        <v>5000</v>
      </c>
      <c r="H15" t="s">
        <v>56</v>
      </c>
      <c r="I15" t="s">
        <v>87</v>
      </c>
      <c r="J15" t="s">
        <v>88</v>
      </c>
      <c r="K15" t="s">
        <v>77</v>
      </c>
      <c r="L15">
        <v>5000</v>
      </c>
      <c r="M15">
        <v>20</v>
      </c>
      <c r="N15">
        <v>50</v>
      </c>
      <c r="O15" t="s">
        <v>42</v>
      </c>
      <c r="P15">
        <v>5</v>
      </c>
      <c r="Q15">
        <v>5000</v>
      </c>
    </row>
    <row r="16" spans="1:17" x14ac:dyDescent="0.3">
      <c r="A16" t="s">
        <v>61</v>
      </c>
      <c r="B16" t="s">
        <v>52</v>
      </c>
      <c r="C16">
        <v>88</v>
      </c>
      <c r="D16" t="s">
        <v>53</v>
      </c>
      <c r="E16" t="s">
        <v>67</v>
      </c>
      <c r="F16" t="s">
        <v>90</v>
      </c>
      <c r="G16">
        <v>8000</v>
      </c>
      <c r="H16" t="s">
        <v>84</v>
      </c>
      <c r="I16" t="s">
        <v>57</v>
      </c>
      <c r="J16" t="s">
        <v>91</v>
      </c>
      <c r="K16" t="s">
        <v>73</v>
      </c>
      <c r="L16">
        <v>5000</v>
      </c>
      <c r="M16">
        <v>20</v>
      </c>
      <c r="N16">
        <v>55</v>
      </c>
      <c r="O16" t="s">
        <v>42</v>
      </c>
      <c r="P16">
        <v>5</v>
      </c>
      <c r="Q16">
        <v>8000</v>
      </c>
    </row>
    <row r="17" spans="1:17" x14ac:dyDescent="0.3">
      <c r="A17" t="s">
        <v>61</v>
      </c>
      <c r="B17" t="s">
        <v>52</v>
      </c>
      <c r="C17">
        <v>88</v>
      </c>
      <c r="D17" t="s">
        <v>86</v>
      </c>
      <c r="E17" t="s">
        <v>67</v>
      </c>
      <c r="F17" t="s">
        <v>90</v>
      </c>
      <c r="G17">
        <v>5000</v>
      </c>
      <c r="H17" t="s">
        <v>84</v>
      </c>
      <c r="I17" t="s">
        <v>87</v>
      </c>
      <c r="J17" t="s">
        <v>91</v>
      </c>
      <c r="K17" t="s">
        <v>59</v>
      </c>
      <c r="L17">
        <v>8000</v>
      </c>
      <c r="M17">
        <v>20</v>
      </c>
      <c r="N17">
        <v>6</v>
      </c>
      <c r="O17" t="s">
        <v>42</v>
      </c>
      <c r="P17">
        <v>6</v>
      </c>
      <c r="Q17">
        <v>5000</v>
      </c>
    </row>
    <row r="18" spans="1:17" x14ac:dyDescent="0.3">
      <c r="A18" t="s">
        <v>61</v>
      </c>
      <c r="B18" t="s">
        <v>92</v>
      </c>
      <c r="C18">
        <v>55</v>
      </c>
      <c r="D18" t="s">
        <v>53</v>
      </c>
      <c r="E18" t="s">
        <v>63</v>
      </c>
      <c r="F18" t="s">
        <v>55</v>
      </c>
      <c r="G18">
        <v>5000</v>
      </c>
      <c r="H18" t="s">
        <v>84</v>
      </c>
      <c r="I18" t="s">
        <v>87</v>
      </c>
      <c r="J18" t="s">
        <v>91</v>
      </c>
      <c r="K18" t="s">
        <v>77</v>
      </c>
      <c r="L18">
        <v>5000</v>
      </c>
      <c r="M18">
        <v>50</v>
      </c>
      <c r="N18">
        <v>56</v>
      </c>
      <c r="O18" t="s">
        <v>74</v>
      </c>
      <c r="P18">
        <v>6</v>
      </c>
      <c r="Q18">
        <v>5000</v>
      </c>
    </row>
    <row r="19" spans="1:17" x14ac:dyDescent="0.3">
      <c r="A19" t="s">
        <v>51</v>
      </c>
      <c r="B19" t="s">
        <v>92</v>
      </c>
      <c r="C19">
        <v>88</v>
      </c>
      <c r="D19" t="s">
        <v>53</v>
      </c>
      <c r="E19" t="s">
        <v>54</v>
      </c>
      <c r="F19" t="s">
        <v>81</v>
      </c>
      <c r="G19">
        <v>8000</v>
      </c>
      <c r="H19" t="s">
        <v>65</v>
      </c>
      <c r="I19" t="s">
        <v>57</v>
      </c>
      <c r="J19" t="s">
        <v>85</v>
      </c>
      <c r="K19" t="s">
        <v>59</v>
      </c>
      <c r="L19">
        <v>5000</v>
      </c>
      <c r="M19">
        <v>20</v>
      </c>
      <c r="N19">
        <v>6</v>
      </c>
      <c r="O19" t="s">
        <v>74</v>
      </c>
      <c r="P19">
        <v>8</v>
      </c>
      <c r="Q19">
        <v>8000</v>
      </c>
    </row>
    <row r="20" spans="1:17" x14ac:dyDescent="0.3">
      <c r="A20" t="s">
        <v>51</v>
      </c>
      <c r="B20" t="s">
        <v>92</v>
      </c>
      <c r="C20">
        <v>77</v>
      </c>
      <c r="D20" t="s">
        <v>53</v>
      </c>
      <c r="E20" t="s">
        <v>54</v>
      </c>
      <c r="F20" t="s">
        <v>93</v>
      </c>
      <c r="G20">
        <v>8000</v>
      </c>
      <c r="H20" t="s">
        <v>65</v>
      </c>
      <c r="I20" t="s">
        <v>94</v>
      </c>
      <c r="J20" t="s">
        <v>91</v>
      </c>
      <c r="K20" t="s">
        <v>59</v>
      </c>
      <c r="L20">
        <v>8000</v>
      </c>
      <c r="M20">
        <v>20</v>
      </c>
      <c r="N20">
        <v>6</v>
      </c>
      <c r="O20" t="s">
        <v>60</v>
      </c>
      <c r="P20">
        <v>5</v>
      </c>
      <c r="Q20">
        <v>8000</v>
      </c>
    </row>
    <row r="21" spans="1:17" x14ac:dyDescent="0.3">
      <c r="A21" t="s">
        <v>51</v>
      </c>
      <c r="B21" t="s">
        <v>92</v>
      </c>
      <c r="C21">
        <v>56</v>
      </c>
      <c r="D21" t="s">
        <v>53</v>
      </c>
      <c r="E21" t="s">
        <v>63</v>
      </c>
      <c r="F21" t="s">
        <v>81</v>
      </c>
      <c r="G21">
        <v>8000</v>
      </c>
      <c r="H21" t="s">
        <v>72</v>
      </c>
      <c r="I21" t="s">
        <v>57</v>
      </c>
      <c r="J21" t="s">
        <v>85</v>
      </c>
      <c r="K21" t="s">
        <v>73</v>
      </c>
      <c r="L21">
        <v>8000</v>
      </c>
      <c r="M21">
        <v>20</v>
      </c>
      <c r="N21">
        <v>5</v>
      </c>
      <c r="O21" t="s">
        <v>60</v>
      </c>
      <c r="P21">
        <v>5</v>
      </c>
      <c r="Q21">
        <v>8000</v>
      </c>
    </row>
    <row r="22" spans="1:17" x14ac:dyDescent="0.3">
      <c r="A22" t="s">
        <v>51</v>
      </c>
      <c r="B22" t="s">
        <v>52</v>
      </c>
      <c r="C22">
        <v>45</v>
      </c>
      <c r="D22" t="s">
        <v>86</v>
      </c>
      <c r="E22" t="s">
        <v>54</v>
      </c>
      <c r="F22" t="s">
        <v>95</v>
      </c>
      <c r="G22">
        <v>5000</v>
      </c>
      <c r="H22" t="s">
        <v>84</v>
      </c>
      <c r="I22" t="s">
        <v>87</v>
      </c>
      <c r="J22" t="s">
        <v>58</v>
      </c>
      <c r="K22" t="s">
        <v>73</v>
      </c>
      <c r="L22">
        <v>5000</v>
      </c>
      <c r="M22">
        <v>20</v>
      </c>
      <c r="N22">
        <v>6</v>
      </c>
      <c r="O22" t="s">
        <v>60</v>
      </c>
      <c r="P22">
        <v>5</v>
      </c>
      <c r="Q22">
        <v>5000</v>
      </c>
    </row>
    <row r="23" spans="1:17" x14ac:dyDescent="0.3">
      <c r="A23" t="s">
        <v>51</v>
      </c>
      <c r="B23" t="s">
        <v>92</v>
      </c>
      <c r="C23">
        <v>45</v>
      </c>
      <c r="D23" t="s">
        <v>86</v>
      </c>
      <c r="E23" t="s">
        <v>96</v>
      </c>
      <c r="F23" t="s">
        <v>68</v>
      </c>
      <c r="G23">
        <v>5000</v>
      </c>
      <c r="H23" t="s">
        <v>56</v>
      </c>
      <c r="I23" t="s">
        <v>87</v>
      </c>
      <c r="J23" t="s">
        <v>85</v>
      </c>
      <c r="K23" t="s">
        <v>73</v>
      </c>
      <c r="L23">
        <v>8000</v>
      </c>
      <c r="M23">
        <v>20</v>
      </c>
      <c r="N23">
        <v>6</v>
      </c>
      <c r="O23" t="s">
        <v>60</v>
      </c>
      <c r="P23">
        <v>5</v>
      </c>
      <c r="Q23">
        <v>5000</v>
      </c>
    </row>
    <row r="24" spans="1:17" x14ac:dyDescent="0.3">
      <c r="A24" t="s">
        <v>51</v>
      </c>
      <c r="B24" t="s">
        <v>92</v>
      </c>
      <c r="C24">
        <v>45</v>
      </c>
      <c r="D24" t="s">
        <v>86</v>
      </c>
      <c r="E24" t="s">
        <v>54</v>
      </c>
      <c r="F24" t="s">
        <v>68</v>
      </c>
      <c r="G24">
        <v>5000</v>
      </c>
      <c r="H24" t="s">
        <v>56</v>
      </c>
      <c r="I24" t="s">
        <v>87</v>
      </c>
      <c r="J24" t="s">
        <v>85</v>
      </c>
      <c r="K24" t="s">
        <v>73</v>
      </c>
      <c r="L24">
        <v>8000</v>
      </c>
      <c r="M24">
        <v>20</v>
      </c>
      <c r="N24">
        <v>6</v>
      </c>
      <c r="O24" t="s">
        <v>60</v>
      </c>
      <c r="P24">
        <v>5</v>
      </c>
      <c r="Q24">
        <v>5000</v>
      </c>
    </row>
    <row r="25" spans="1:17" x14ac:dyDescent="0.3">
      <c r="A25" t="s">
        <v>51</v>
      </c>
      <c r="B25" t="s">
        <v>92</v>
      </c>
      <c r="C25">
        <v>56</v>
      </c>
      <c r="D25" t="s">
        <v>53</v>
      </c>
      <c r="E25" t="s">
        <v>54</v>
      </c>
      <c r="F25" t="s">
        <v>68</v>
      </c>
      <c r="G25">
        <v>8000</v>
      </c>
      <c r="H25" t="s">
        <v>84</v>
      </c>
      <c r="I25" t="s">
        <v>97</v>
      </c>
      <c r="J25" t="s">
        <v>91</v>
      </c>
      <c r="K25" t="s">
        <v>73</v>
      </c>
      <c r="L25">
        <v>5000</v>
      </c>
      <c r="M25">
        <v>20</v>
      </c>
      <c r="N25">
        <v>6</v>
      </c>
      <c r="O25" t="s">
        <v>60</v>
      </c>
      <c r="P25">
        <v>5</v>
      </c>
      <c r="Q25">
        <v>8000</v>
      </c>
    </row>
    <row r="26" spans="1:17" x14ac:dyDescent="0.3">
      <c r="A26" t="s">
        <v>51</v>
      </c>
      <c r="B26" t="s">
        <v>52</v>
      </c>
      <c r="C26">
        <v>20</v>
      </c>
      <c r="D26" t="s">
        <v>53</v>
      </c>
      <c r="E26" t="s">
        <v>54</v>
      </c>
      <c r="F26" t="s">
        <v>93</v>
      </c>
      <c r="G26">
        <v>510</v>
      </c>
      <c r="H26" t="s">
        <v>72</v>
      </c>
      <c r="I26" t="s">
        <v>57</v>
      </c>
      <c r="J26" t="s">
        <v>76</v>
      </c>
      <c r="K26" t="s">
        <v>73</v>
      </c>
      <c r="L26">
        <v>4500</v>
      </c>
      <c r="M26">
        <v>35.5</v>
      </c>
      <c r="N26">
        <v>12</v>
      </c>
      <c r="O26" t="s">
        <v>60</v>
      </c>
      <c r="P26">
        <v>100</v>
      </c>
      <c r="Q26">
        <v>510</v>
      </c>
    </row>
    <row r="27" spans="1:17" x14ac:dyDescent="0.3">
      <c r="A27" t="s">
        <v>51</v>
      </c>
      <c r="B27" t="s">
        <v>52</v>
      </c>
      <c r="C27">
        <v>18</v>
      </c>
      <c r="D27" t="s">
        <v>86</v>
      </c>
      <c r="E27" t="s">
        <v>96</v>
      </c>
      <c r="F27" t="s">
        <v>93</v>
      </c>
      <c r="G27">
        <v>200</v>
      </c>
      <c r="H27" t="s">
        <v>72</v>
      </c>
      <c r="I27" t="s">
        <v>94</v>
      </c>
      <c r="J27" t="s">
        <v>91</v>
      </c>
      <c r="K27" t="s">
        <v>73</v>
      </c>
      <c r="L27">
        <v>8000</v>
      </c>
      <c r="M27">
        <v>12</v>
      </c>
      <c r="N27">
        <v>15</v>
      </c>
      <c r="O27" t="s">
        <v>42</v>
      </c>
      <c r="P27">
        <v>21000</v>
      </c>
      <c r="Q27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E26"/>
  <sheetViews>
    <sheetView showGridLines="0" tabSelected="1" workbookViewId="0">
      <selection activeCell="K23" sqref="K23"/>
    </sheetView>
  </sheetViews>
  <sheetFormatPr baseColWidth="10" defaultColWidth="8.88671875" defaultRowHeight="14.4" x14ac:dyDescent="0.3"/>
  <cols>
    <col min="4" max="4" width="13.6640625" customWidth="1"/>
  </cols>
  <sheetData>
    <row r="1" spans="1:5" x14ac:dyDescent="0.3">
      <c r="A1" s="2">
        <v>0.1</v>
      </c>
      <c r="D1" t="s">
        <v>29</v>
      </c>
      <c r="E1" s="3">
        <v>1</v>
      </c>
    </row>
    <row r="2" spans="1:5" x14ac:dyDescent="0.3">
      <c r="A2" s="2">
        <v>0.1</v>
      </c>
      <c r="D2" t="s">
        <v>30</v>
      </c>
      <c r="E2" s="3">
        <v>0.01</v>
      </c>
    </row>
    <row r="3" spans="1:5" x14ac:dyDescent="0.3">
      <c r="A3" s="2">
        <v>0.1</v>
      </c>
      <c r="D3" t="s">
        <v>31</v>
      </c>
      <c r="E3" s="3">
        <f>200%-SUM(E1:E2)</f>
        <v>0.99</v>
      </c>
    </row>
    <row r="4" spans="1:5" x14ac:dyDescent="0.3">
      <c r="A4" s="2">
        <v>0.1</v>
      </c>
    </row>
    <row r="5" spans="1:5" x14ac:dyDescent="0.3">
      <c r="A5" s="2">
        <v>0.1</v>
      </c>
    </row>
    <row r="6" spans="1:5" x14ac:dyDescent="0.3">
      <c r="A6" s="2">
        <v>0.1</v>
      </c>
    </row>
    <row r="7" spans="1:5" x14ac:dyDescent="0.3">
      <c r="A7" s="2">
        <v>0.1</v>
      </c>
    </row>
    <row r="8" spans="1:5" x14ac:dyDescent="0.3">
      <c r="A8" s="2">
        <v>0.1</v>
      </c>
    </row>
    <row r="9" spans="1:5" x14ac:dyDescent="0.3">
      <c r="A9" s="2">
        <v>0.1</v>
      </c>
    </row>
    <row r="10" spans="1:5" x14ac:dyDescent="0.3">
      <c r="A10" s="2">
        <v>0.1</v>
      </c>
    </row>
    <row r="11" spans="1:5" x14ac:dyDescent="0.3">
      <c r="A11" s="2">
        <v>1</v>
      </c>
    </row>
    <row r="26" spans="4:5" x14ac:dyDescent="0.3">
      <c r="D26" s="9" t="s">
        <v>154</v>
      </c>
      <c r="E26" s="10">
        <v>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F1B87CA7210A4591CB4CB1ED2BF6B3" ma:contentTypeVersion="2" ma:contentTypeDescription="Create a new document." ma:contentTypeScope="" ma:versionID="fda790593282a77a0806be632e1f14aa">
  <xsd:schema xmlns:xsd="http://www.w3.org/2001/XMLSchema" xmlns:xs="http://www.w3.org/2001/XMLSchema" xmlns:p="http://schemas.microsoft.com/office/2006/metadata/properties" xmlns:ns2="2b220074-6b04-4f39-a10f-fc7b42da23a3" targetNamespace="http://schemas.microsoft.com/office/2006/metadata/properties" ma:root="true" ma:fieldsID="441e1385dc1cb14bcb58eb602b3d69f4" ns2:_="">
    <xsd:import namespace="2b220074-6b04-4f39-a10f-fc7b42da23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220074-6b04-4f39-a10f-fc7b42da23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E3AA788-830A-4F29-A375-F5F79C98A3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AD3E98-FF68-4E54-9E66-BE06E7083EE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5E234F-6FD5-40EA-8F1A-9AC6D1AD5E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220074-6b04-4f39-a10f-fc7b42da23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Coefficients</vt:lpstr>
      <vt:lpstr>Feuil2</vt:lpstr>
      <vt:lpstr>BD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Acer</cp:lastModifiedBy>
  <cp:revision/>
  <dcterms:created xsi:type="dcterms:W3CDTF">2022-10-19T15:50:09Z</dcterms:created>
  <dcterms:modified xsi:type="dcterms:W3CDTF">2022-12-02T22:56:38Z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0x01010051F1B87CA7210A4591CB4CB1ED2BF6B3</vt:lpwstr>
  </property>
</Properties>
</file>